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FCT\DEFINITIVO\"/>
    </mc:Choice>
  </mc:AlternateContent>
  <xr:revisionPtr revIDLastSave="0" documentId="13_ncr:1_{AA994D4F-6260-46BF-9009-9A6623A8D503}" xr6:coauthVersionLast="45" xr6:coauthVersionMax="45" xr10:uidLastSave="{00000000-0000-0000-0000-000000000000}"/>
  <bookViews>
    <workbookView xWindow="-120" yWindow="-120" windowWidth="29040" windowHeight="16440" xr2:uid="{0E525D50-24D7-49C1-8908-D04334D2460F}"/>
  </bookViews>
  <sheets>
    <sheet name="Hoja1" sheetId="1" r:id="rId1"/>
    <sheet name="Servi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1" l="1"/>
  <c r="E8" i="1"/>
  <c r="E17" i="1"/>
  <c r="E18" i="1"/>
  <c r="E19" i="1"/>
  <c r="E16" i="1"/>
  <c r="E20" i="1" l="1"/>
  <c r="E3" i="1"/>
  <c r="E4" i="1"/>
  <c r="E5" i="1"/>
  <c r="E6" i="1"/>
  <c r="E7" i="1"/>
  <c r="E9" i="1"/>
  <c r="E10" i="1"/>
  <c r="E12" i="1"/>
  <c r="E13" i="1"/>
  <c r="E14" i="1"/>
  <c r="E15" i="1"/>
  <c r="E21" i="1"/>
  <c r="E22" i="1"/>
  <c r="E23" i="1"/>
  <c r="E24" i="1"/>
  <c r="E25" i="1"/>
  <c r="E26" i="1"/>
  <c r="E3" i="2" l="1"/>
  <c r="E2" i="1" l="1"/>
  <c r="F2" i="1" l="1"/>
</calcChain>
</file>

<file path=xl/sharedStrings.xml><?xml version="1.0" encoding="utf-8"?>
<sst xmlns="http://schemas.openxmlformats.org/spreadsheetml/2006/main" count="74" uniqueCount="43">
  <si>
    <t>Producto</t>
  </si>
  <si>
    <t>Precio</t>
  </si>
  <si>
    <t>Link</t>
  </si>
  <si>
    <t>Higrómetro</t>
  </si>
  <si>
    <t xml:space="preserve">Deshumidifacor </t>
  </si>
  <si>
    <t>router</t>
  </si>
  <si>
    <t>switch</t>
  </si>
  <si>
    <t>repetidor</t>
  </si>
  <si>
    <t>punto de acceso</t>
  </si>
  <si>
    <t>rj45</t>
  </si>
  <si>
    <t>cable</t>
  </si>
  <si>
    <t>canaleta central</t>
  </si>
  <si>
    <t xml:space="preserve">canaletas </t>
  </si>
  <si>
    <t>pasacables suelo</t>
  </si>
  <si>
    <t>panel parcheo</t>
  </si>
  <si>
    <t>rack</t>
  </si>
  <si>
    <t>ventilacion rack</t>
  </si>
  <si>
    <t>regleta</t>
  </si>
  <si>
    <t>Pinche aquí</t>
  </si>
  <si>
    <t>Unidad</t>
  </si>
  <si>
    <t>Precio producto</t>
  </si>
  <si>
    <t>Precio Total</t>
  </si>
  <si>
    <t>cabezal protector rj45</t>
  </si>
  <si>
    <t>Pinche Aquí</t>
  </si>
  <si>
    <t>Pinche aqui</t>
  </si>
  <si>
    <t xml:space="preserve">Servidor firewall </t>
  </si>
  <si>
    <t>Componente</t>
  </si>
  <si>
    <t>Placa Base</t>
  </si>
  <si>
    <t>Procesadores</t>
  </si>
  <si>
    <t>Ram</t>
  </si>
  <si>
    <t>Disco duro</t>
  </si>
  <si>
    <t>Servidor</t>
  </si>
  <si>
    <t>Caja</t>
  </si>
  <si>
    <t xml:space="preserve">fuente </t>
  </si>
  <si>
    <t>TOTAL</t>
  </si>
  <si>
    <t>Ordenador clientes</t>
  </si>
  <si>
    <t>Punto de acceso</t>
  </si>
  <si>
    <t>Rosetas</t>
  </si>
  <si>
    <t>Latiguillos cortos para equipos</t>
  </si>
  <si>
    <t>Latiguillos muy cortos para panel de parcheo</t>
  </si>
  <si>
    <t>módulo SFP</t>
  </si>
  <si>
    <t>sai</t>
  </si>
  <si>
    <t>organizador cables panel de parcheo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</si>
</sst>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_-* #,##0.00\ [$€-C0A]_-;\-* #,##0.00\ [$€-C0A]_-;_-* &quot;-&quot;??\ [$€-C0A]_-;_-@_-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" fillId="0" borderId="0" xfId="1"/>
    <xf numFmtId="165" fontId="0" fillId="0" borderId="0" xfId="0" applyNumberFormat="1"/>
    <xf numFmtId="0" fontId="0" fillId="0" borderId="0" xfId="0" applyFont="1" applyFill="1" applyBorder="1"/>
    <xf numFmtId="165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1" applyFont="1" applyFill="1" applyBorder="1"/>
    <xf numFmtId="164" fontId="0" fillId="0" borderId="0" xfId="0" applyNumberFormat="1" applyFont="1" applyFill="1" applyBorder="1"/>
    <xf numFmtId="164" fontId="0" fillId="0" borderId="0" xfId="2" applyNumberFormat="1" applyFont="1" applyFill="1" applyBorder="1"/>
    <xf numFmtId="164" fontId="0" fillId="0" borderId="0" xfId="3" applyNumberFormat="1" applyFont="1" applyFill="1" applyBorder="1"/>
    <xf numFmtId="0" fontId="1" fillId="0" borderId="0" xfId="1" applyFill="1" applyBorder="1"/>
    <xf numFmtId="165" fontId="0" fillId="0" borderId="0" xfId="3" applyNumberFormat="1" applyFont="1" applyFill="1" applyBorder="1"/>
  </cellXfs>
  <cellStyles count="4">
    <cellStyle name="Hipervínculo" xfId="1" builtinId="8"/>
    <cellStyle name="Moneda" xfId="3" builtinId="4"/>
    <cellStyle name="Normal" xfId="0" builtinId="0"/>
    <cellStyle name="Porcentaje" xfId="2" builtinId="5"/>
  </cellStyles>
  <dxfs count="2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</dxf>
    <dxf>
      <numFmt numFmtId="165" formatCode="_-* #,##0.00\ [$€-C0A]_-;\-* #,##0.00\ [$€-C0A]_-;_-* &quot;-&quot;??\ [$€-C0A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09D76-25AF-4DAF-BCA1-D5734436A52B}" name="Tabla1" displayName="Tabla1" ref="A1:F27" totalsRowShown="0">
  <autoFilter ref="A1:F27" xr:uid="{0314A40A-B18E-4E5C-9229-E23E006094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DD717C9-6EAF-4339-BC8C-93E7723C18C3}" name="Producto"/>
    <tableColumn id="2" xr3:uid="{911F7842-4D5B-4AEC-9348-3B173A31F23F}" name="Precio"/>
    <tableColumn id="3" xr3:uid="{A119A917-A452-48AF-A410-C22D5C6E6EE7}" name="Unidad"/>
    <tableColumn id="4" xr3:uid="{1122DAAF-D943-4D37-83EB-5DA67F3E85DB}" name="Link"/>
    <tableColumn id="5" xr3:uid="{7071AA3B-125A-448E-8094-9A6250446480}" name="Precio producto"/>
    <tableColumn id="6" xr3:uid="{B6945CB1-3B40-4945-8626-E988DC94AA5A}" name="Precio Tota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1CBD9D-54C7-4B6D-A4FF-F286EFBC75A2}" name="Tabla2" displayName="Tabla2" ref="A1:E8" headerRowCount="0">
  <tableColumns count="5">
    <tableColumn id="1" xr3:uid="{AB34A758-C955-41CE-B765-4537C140C3C6}" name="Columna1" totalsRowLabel="Total"/>
    <tableColumn id="2" xr3:uid="{3F8AFD0C-FAD0-42FB-9ED4-269B335AB4B2}" name="Columna2" dataDxfId="1"/>
    <tableColumn id="3" xr3:uid="{1C913E16-E7A6-4A57-ABC7-CDD8C7BA1BEE}" name="Columna3"/>
    <tableColumn id="4" xr3:uid="{4902AD00-E1D2-4919-B38E-16B81FD4F062}" name="Columna4" totalsRowDxfId="0" dataCellStyle="Hipervínculo"/>
    <tableColumn id="5" xr3:uid="{5495FD00-681B-4333-8C63-A3A46286D1F4}" name="Columna5" totalsRowFunction="count"/>
  </tableColumns>
  <tableStyleInfo name="TableStyleLight21" showFirstColumn="1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ccomponentes.com/protector-conector-rj45-gris---pack-25-unds" TargetMode="External"/><Relationship Id="rId13" Type="http://schemas.openxmlformats.org/officeDocument/2006/relationships/hyperlink" Target="https://www.pccomponentes.com/aisens-a141-0309-organizador-de-cables-19-1u" TargetMode="External"/><Relationship Id="rId18" Type="http://schemas.openxmlformats.org/officeDocument/2006/relationships/hyperlink" Target="https://www.amazon.es/Cisco-ASA-5508-X-450Mbit-Cortafuegos/dp/B00XWNZ1KG/ref=sr_1_2?__mk_es_ES=&#197;M&#197;&#381;&#213;&#209;&amp;dchild=1&amp;keywords=Cisco+5508-X&amp;qid=1589564734&amp;sr=8-2" TargetMode="External"/><Relationship Id="rId26" Type="http://schemas.openxmlformats.org/officeDocument/2006/relationships/hyperlink" Target="https://www.pccomponentes.com/bresser-temeo-hygro-quadro-estacion-termometro-e-higrometro-negro-3-sensores?gclid=Cj0KCQjw2PP1BRCiARIsAEqv-pSpeSpFELa4dqeRQ5bxIkZcHZcw2h0lmnv-aAb07VEzW0bmR79ULkkaAg0nEALw_wcB" TargetMode="External"/><Relationship Id="rId3" Type="http://schemas.openxmlformats.org/officeDocument/2006/relationships/hyperlink" Target="https://www.pccomponentes.com/bresser-temeo-hygro-quadro-estacion-termometro-e-higrometro-negro-3-sensores?gclid=Cj0KCQjw2PP1BRCiARIsAEqv-pSpeSpFELa4dqeRQ5bxIkZcHZcw2h0lmnv-aAb07VEzW0bmR79ULkkaAg0nEALw_wcB" TargetMode="External"/><Relationship Id="rId21" Type="http://schemas.openxmlformats.org/officeDocument/2006/relationships/hyperlink" Target="https://www.pccomponentes.com/roseta-de-superficie-cat6-conector-red-hembra-rj45" TargetMode="External"/><Relationship Id="rId7" Type="http://schemas.openxmlformats.org/officeDocument/2006/relationships/hyperlink" Target="https://www.pccomponentes.com/equip-conector-rj45-cat6-100-unidades" TargetMode="External"/><Relationship Id="rId12" Type="http://schemas.openxmlformats.org/officeDocument/2006/relationships/hyperlink" Target="https://www.pccomponentes.com/wp-regleta-19-8-tomas-protecc-interruptor" TargetMode="External"/><Relationship Id="rId17" Type="http://schemas.openxmlformats.org/officeDocument/2006/relationships/hyperlink" Target="https://www.amazon.es/Dataflex-protectora-cables-color-negro/dp/B000WVCHZS/ref=sr_1_36?__mk_es_ES=&#197;M&#197;&#381;&#213;&#209;&amp;dchild=1&amp;keywords=pasacables+suelo&amp;qid=1589564526&amp;sr=8-36" TargetMode="External"/><Relationship Id="rId25" Type="http://schemas.openxmlformats.org/officeDocument/2006/relationships/hyperlink" Target="https://www.pccomponentes.com/salicru-sps-advance-r-sai-line-senoidal-rack-1u-750-va" TargetMode="External"/><Relationship Id="rId2" Type="http://schemas.openxmlformats.org/officeDocument/2006/relationships/hyperlink" Target="https://www.pccomponentes.com/bresser-temeo-hygro-quadro-estacion-termometro-e-higrometro-negro-3-sensores?gclid=Cj0KCQjw2PP1BRCiARIsAEqv-pSpeSpFELa4dqeRQ5bxIkZcHZcw2h0lmnv-aAb07VEzW0bmR79ULkkaAg0nEALw_wcB" TargetMode="External"/><Relationship Id="rId16" Type="http://schemas.openxmlformats.org/officeDocument/2006/relationships/hyperlink" Target="https://www.amazon.es/Multivia-R1040Z3-Bandeja-Rejilla-cincado/dp/B01MYX4LQN/ref=sr_1_4?__mk_es_ES=&#197;M&#197;&#381;&#213;&#209;&amp;dchild=1&amp;keywords=bandeja%2Bportacables&amp;qid=1589563793&amp;s=industrial&amp;sr=1-4&amp;th=1" TargetMode="External"/><Relationship Id="rId20" Type="http://schemas.openxmlformats.org/officeDocument/2006/relationships/hyperlink" Target="https://www.pccomponentes.com/tp-link-eap110-punto-de-acceso-300-mbps?utm_campaign=afiliados&amp;utm_source=effi-1395084383" TargetMode="External"/><Relationship Id="rId1" Type="http://schemas.openxmlformats.org/officeDocument/2006/relationships/hyperlink" Target="https://www.pccomponentes.com/bresser-temeo-hygro-quadro-estacion-termometro-e-higrometro-negro-3-sensores?gclid=Cj0KCQjw2PP1BRCiARIsAEqv-pSpeSpFELa4dqeRQ5bxIkZcHZcw2h0lmnv-aAb07VEzW0bmR79ULkkaAg0nEALw_wcB" TargetMode="External"/><Relationship Id="rId6" Type="http://schemas.openxmlformats.org/officeDocument/2006/relationships/hyperlink" Target="https://www.pccomponentes.com/bresser-temeo-hygro-quadro-estacion-termometro-e-higrometro-negro-3-sensores?gclid=Cj0KCQjw2PP1BRCiARIsAEqv-pSpeSpFELa4dqeRQ5bxIkZcHZcw2h0lmnv-aAb07VEzW0bmR79ULkkaAg0nEALw_wcB" TargetMode="External"/><Relationship Id="rId11" Type="http://schemas.openxmlformats.org/officeDocument/2006/relationships/hyperlink" Target="https://www.pccomponentes.com/microconnect-armario-rack-de-19-22hu-600x800" TargetMode="External"/><Relationship Id="rId24" Type="http://schemas.openxmlformats.org/officeDocument/2006/relationships/hyperlink" Target="https://www.pccomponentes.com/tp-link-tl-sm311lm-modulo-transceptor-sfp-gigabit-multimodo-minigbic" TargetMode="External"/><Relationship Id="rId5" Type="http://schemas.openxmlformats.org/officeDocument/2006/relationships/hyperlink" Target="https://www.pccomponentes.com/bresser-temeo-hygro-quadro-estacion-termometro-e-higrometro-negro-3-sensores?gclid=Cj0KCQjw2PP1BRCiARIsAEqv-pSpeSpFELa4dqeRQ5bxIkZcHZcw2h0lmnv-aAb07VEzW0bmR79ULkkaAg0nEALw_wcB" TargetMode="External"/><Relationship Id="rId15" Type="http://schemas.openxmlformats.org/officeDocument/2006/relationships/hyperlink" Target="https://www.amazon.es/Canaleta-autoadhesiva-para-cables-20/dp/B07VF1NQR7/ref=pd_sbs_60_2/258-6945326-0414213?_encoding=UTF8&amp;pd_rd_i=B07VF1S1JG&amp;pd_rd_r=32e252fe-8cc5-4ea7-b099-008c9026a0ba&amp;pd_rd_w=hQSwv&amp;pd_rd_wg=k3dTF&amp;pf_rd_p=8e0d0316-fa0d-4a75-b68c-17be1e5e1b5a&amp;pf_rd_r=V6PS2HWMGBEFX7D5QSCA&amp;refRID=V6PS2HWMGBEFX7D5QSCA&amp;th=1" TargetMode="External"/><Relationship Id="rId23" Type="http://schemas.openxmlformats.org/officeDocument/2006/relationships/hyperlink" Target="https://www.pccomponentes.com/3go-cable-de-red-utp-cat6-1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www.pccomponentes.com/nanocable-cable-utp-cat6-100m-rigido" TargetMode="External"/><Relationship Id="rId19" Type="http://schemas.openxmlformats.org/officeDocument/2006/relationships/hyperlink" Target="https://www.pccomponentes.com/configurador/86FaAd2c1" TargetMode="External"/><Relationship Id="rId4" Type="http://schemas.openxmlformats.org/officeDocument/2006/relationships/hyperlink" Target="https://www.pccomponentes.com/bresser-temeo-hygro-quadro-estacion-termometro-e-higrometro-negro-3-sensores?gclid=Cj0KCQjw2PP1BRCiARIsAEqv-pSpeSpFELa4dqeRQ5bxIkZcHZcw2h0lmnv-aAb07VEzW0bmR79ULkkaAg0nEALw_wcB" TargetMode="External"/><Relationship Id="rId9" Type="http://schemas.openxmlformats.org/officeDocument/2006/relationships/hyperlink" Target="https://www.amazon.es/ventilaci&#243;n-termostato-para-ventiladores-120mm/dp/B00HUSBIR4/ref=sr_1_6?__mk_es_ES=&#197;M&#197;&#381;&#213;&#209;&amp;dchild=1&amp;keywords=ventilador+rack&amp;qid=1589562123&amp;s=computers&amp;sr=1-6" TargetMode="External"/><Relationship Id="rId14" Type="http://schemas.openxmlformats.org/officeDocument/2006/relationships/hyperlink" Target="https://www.pccomponentes.com/wp-panel-repartidor-19-24-ptos-utp-cat-6" TargetMode="External"/><Relationship Id="rId22" Type="http://schemas.openxmlformats.org/officeDocument/2006/relationships/hyperlink" Target="https://www.pccomponentes.com/3go-cable-de-red-utp-cat6-3m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ccomponentes.com/kingston-hyperx-fury-black-64gb-ddr4-2666mhz-pc-21300-4x16gb-cl16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www.pccomponentes.com/intel-core-i7-9700-3-ghz" TargetMode="External"/><Relationship Id="rId1" Type="http://schemas.openxmlformats.org/officeDocument/2006/relationships/hyperlink" Target="https://www.amazon.es/ASUS-Z11PA-D8-3647-Socket-Placa/dp/B0775GFZ5Y" TargetMode="External"/><Relationship Id="rId6" Type="http://schemas.openxmlformats.org/officeDocument/2006/relationships/hyperlink" Target="https://www.pccomponentes.com/fsp-twins-500w-80-plus-gold" TargetMode="External"/><Relationship Id="rId5" Type="http://schemas.openxmlformats.org/officeDocument/2006/relationships/hyperlink" Target="https://www.amazon.es/Silverstone-SST-RM21-308-Servidor-Compatible-Mini-SAS/dp/B07PM7P1RB/ref=sr_1_13?__mk_es_ES=&#197;M&#197;&#381;&#213;&#209;&amp;crid=2DHA4NXGU2YFW&amp;dchild=1&amp;keywords=caja%2Brack&amp;qid=1589565766&amp;sprefix=caja%2Brac%2Caps%2C220&amp;sr=8-13&amp;th=1" TargetMode="External"/><Relationship Id="rId4" Type="http://schemas.openxmlformats.org/officeDocument/2006/relationships/hyperlink" Target="https://www.pccomponentes.com/seagate-skyhawk-ai-surveillance-35-14tb-sat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111D-269E-4A46-8FBE-2F9A5E76CFD3}">
  <dimension ref="A1:G27"/>
  <sheetViews>
    <sheetView tabSelected="1" zoomScale="145" zoomScaleNormal="145" workbookViewId="0"/>
  </sheetViews>
  <sheetFormatPr baseColWidth="10" defaultRowHeight="15" x14ac:dyDescent="0.25"/>
  <cols>
    <col min="1" max="1" width="40.85546875" bestFit="1" customWidth="1"/>
    <col min="2" max="2" width="11.140625" bestFit="1" customWidth="1"/>
    <col min="3" max="3" width="9.7109375" bestFit="1" customWidth="1"/>
    <col min="4" max="4" width="11.42578125" bestFit="1" customWidth="1"/>
    <col min="5" max="5" width="17.28515625" bestFit="1" customWidth="1"/>
    <col min="6" max="6" width="13.7109375" bestFit="1" customWidth="1"/>
  </cols>
  <sheetData>
    <row r="1" spans="1:7" x14ac:dyDescent="0.25">
      <c r="A1" s="4" t="s">
        <v>0</v>
      </c>
      <c r="B1" s="4" t="s">
        <v>1</v>
      </c>
      <c r="C1" s="4" t="s">
        <v>19</v>
      </c>
      <c r="D1" s="4" t="s">
        <v>2</v>
      </c>
      <c r="E1" s="4" t="s">
        <v>20</v>
      </c>
      <c r="F1" s="4" t="s">
        <v>21</v>
      </c>
    </row>
    <row r="2" spans="1:7" x14ac:dyDescent="0.25">
      <c r="A2" s="4" t="s">
        <v>3</v>
      </c>
      <c r="B2" s="5">
        <v>26</v>
      </c>
      <c r="C2" s="6">
        <v>1</v>
      </c>
      <c r="D2" s="11" t="s">
        <v>18</v>
      </c>
      <c r="E2" s="8">
        <f>PRODUCT(C2,B2)</f>
        <v>26</v>
      </c>
      <c r="F2" s="5">
        <f>SUM(E2:E27)</f>
        <v>10134.370000000001</v>
      </c>
      <c r="G2" s="3"/>
    </row>
    <row r="3" spans="1:7" x14ac:dyDescent="0.25">
      <c r="A3" s="4" t="s">
        <v>4</v>
      </c>
      <c r="B3" s="5">
        <v>38.96</v>
      </c>
      <c r="C3" s="6">
        <v>1</v>
      </c>
      <c r="D3" s="11" t="s">
        <v>18</v>
      </c>
      <c r="E3" s="8">
        <f t="shared" ref="E3:E25" si="0">PRODUCT(C3,B3)</f>
        <v>38.96</v>
      </c>
      <c r="F3" s="4"/>
    </row>
    <row r="4" spans="1:7" x14ac:dyDescent="0.25">
      <c r="A4" s="4" t="s">
        <v>5</v>
      </c>
      <c r="B4" s="5">
        <v>49.99</v>
      </c>
      <c r="C4" s="6">
        <v>1</v>
      </c>
      <c r="D4" s="11" t="s">
        <v>18</v>
      </c>
      <c r="E4" s="8">
        <f t="shared" si="0"/>
        <v>49.99</v>
      </c>
      <c r="F4" s="4"/>
    </row>
    <row r="5" spans="1:7" x14ac:dyDescent="0.25">
      <c r="A5" s="4" t="s">
        <v>6</v>
      </c>
      <c r="B5" s="5">
        <v>168.51</v>
      </c>
      <c r="C5" s="6">
        <v>2</v>
      </c>
      <c r="D5" s="11" t="s">
        <v>18</v>
      </c>
      <c r="E5" s="8">
        <f t="shared" si="0"/>
        <v>337.02</v>
      </c>
      <c r="F5" s="4"/>
    </row>
    <row r="6" spans="1:7" x14ac:dyDescent="0.25">
      <c r="A6" s="4" t="s">
        <v>7</v>
      </c>
      <c r="B6" s="5">
        <v>16.5</v>
      </c>
      <c r="C6" s="6">
        <v>1</v>
      </c>
      <c r="D6" s="11" t="s">
        <v>18</v>
      </c>
      <c r="E6" s="8">
        <f t="shared" si="0"/>
        <v>16.5</v>
      </c>
      <c r="F6" s="4"/>
    </row>
    <row r="7" spans="1:7" x14ac:dyDescent="0.25">
      <c r="A7" s="4" t="s">
        <v>8</v>
      </c>
      <c r="B7" s="5">
        <v>22.35</v>
      </c>
      <c r="C7" s="6">
        <v>1</v>
      </c>
      <c r="D7" s="11" t="s">
        <v>18</v>
      </c>
      <c r="E7" s="8">
        <f t="shared" si="0"/>
        <v>22.35</v>
      </c>
      <c r="F7" s="4"/>
    </row>
    <row r="8" spans="1:7" x14ac:dyDescent="0.25">
      <c r="A8" s="4" t="s">
        <v>40</v>
      </c>
      <c r="B8" s="5">
        <v>18.760000000000002</v>
      </c>
      <c r="C8" s="6">
        <v>1</v>
      </c>
      <c r="D8" s="11" t="s">
        <v>18</v>
      </c>
      <c r="E8" s="8">
        <f t="shared" si="0"/>
        <v>18.760000000000002</v>
      </c>
      <c r="F8" s="4"/>
    </row>
    <row r="9" spans="1:7" x14ac:dyDescent="0.25">
      <c r="A9" s="4" t="s">
        <v>9</v>
      </c>
      <c r="B9" s="5">
        <v>18.760000000000002</v>
      </c>
      <c r="C9" s="6">
        <v>44</v>
      </c>
      <c r="D9" s="7" t="s">
        <v>18</v>
      </c>
      <c r="E9" s="8">
        <f t="shared" si="0"/>
        <v>825.44</v>
      </c>
      <c r="F9" s="4"/>
    </row>
    <row r="10" spans="1:7" x14ac:dyDescent="0.25">
      <c r="A10" s="4" t="s">
        <v>10</v>
      </c>
      <c r="B10" s="5">
        <v>36.99</v>
      </c>
      <c r="C10" s="6">
        <v>7</v>
      </c>
      <c r="D10" s="7" t="s">
        <v>23</v>
      </c>
      <c r="E10" s="8">
        <f t="shared" si="0"/>
        <v>258.93</v>
      </c>
      <c r="F10" s="4"/>
    </row>
    <row r="11" spans="1:7" x14ac:dyDescent="0.25">
      <c r="A11" s="4" t="s">
        <v>41</v>
      </c>
      <c r="B11" s="5">
        <v>255.99</v>
      </c>
      <c r="C11" s="6">
        <v>1</v>
      </c>
      <c r="D11" s="11" t="s">
        <v>18</v>
      </c>
      <c r="E11" s="8">
        <f t="shared" si="0"/>
        <v>255.99</v>
      </c>
      <c r="F11" s="4"/>
    </row>
    <row r="12" spans="1:7" x14ac:dyDescent="0.25">
      <c r="A12" s="4" t="s">
        <v>11</v>
      </c>
      <c r="B12" s="5">
        <v>16.64</v>
      </c>
      <c r="C12" s="6">
        <v>7</v>
      </c>
      <c r="D12" s="7" t="s">
        <v>18</v>
      </c>
      <c r="E12" s="8">
        <f t="shared" si="0"/>
        <v>116.48</v>
      </c>
      <c r="F12" s="4"/>
    </row>
    <row r="13" spans="1:7" x14ac:dyDescent="0.25">
      <c r="A13" s="4" t="s">
        <v>12</v>
      </c>
      <c r="B13" s="5">
        <v>37.9</v>
      </c>
      <c r="C13" s="6">
        <v>50</v>
      </c>
      <c r="D13" s="7" t="s">
        <v>18</v>
      </c>
      <c r="E13" s="8">
        <f t="shared" si="0"/>
        <v>1895</v>
      </c>
      <c r="F13" s="4"/>
    </row>
    <row r="14" spans="1:7" x14ac:dyDescent="0.25">
      <c r="A14" s="4" t="s">
        <v>13</v>
      </c>
      <c r="B14" s="5">
        <v>24.9</v>
      </c>
      <c r="C14" s="6">
        <v>34</v>
      </c>
      <c r="D14" s="7" t="s">
        <v>18</v>
      </c>
      <c r="E14" s="8">
        <f t="shared" si="0"/>
        <v>846.59999999999991</v>
      </c>
      <c r="F14" s="4"/>
    </row>
    <row r="15" spans="1:7" x14ac:dyDescent="0.25">
      <c r="A15" s="4" t="s">
        <v>14</v>
      </c>
      <c r="B15" s="5">
        <v>28.99</v>
      </c>
      <c r="C15" s="6">
        <v>2</v>
      </c>
      <c r="D15" s="7" t="s">
        <v>18</v>
      </c>
      <c r="E15" s="8">
        <f t="shared" si="0"/>
        <v>57.98</v>
      </c>
      <c r="F15" s="4"/>
    </row>
    <row r="16" spans="1:7" x14ac:dyDescent="0.25">
      <c r="A16" s="4" t="s">
        <v>36</v>
      </c>
      <c r="B16" s="10">
        <v>30</v>
      </c>
      <c r="C16" s="6">
        <v>1</v>
      </c>
      <c r="D16" s="11" t="s">
        <v>18</v>
      </c>
      <c r="E16" s="8">
        <f>PRODUCT(C16,B16)</f>
        <v>30</v>
      </c>
      <c r="F16" s="4"/>
    </row>
    <row r="17" spans="1:6" x14ac:dyDescent="0.25">
      <c r="A17" s="4" t="s">
        <v>39</v>
      </c>
      <c r="B17" s="10">
        <v>2.61</v>
      </c>
      <c r="C17" s="6">
        <v>44</v>
      </c>
      <c r="D17" s="11" t="s">
        <v>18</v>
      </c>
      <c r="E17" s="8">
        <f>PRODUCT(C17,B17)</f>
        <v>114.83999999999999</v>
      </c>
      <c r="F17" s="4"/>
    </row>
    <row r="18" spans="1:6" x14ac:dyDescent="0.25">
      <c r="A18" s="4" t="s">
        <v>38</v>
      </c>
      <c r="B18" s="10">
        <v>5.2</v>
      </c>
      <c r="C18" s="6">
        <v>44</v>
      </c>
      <c r="D18" s="11" t="s">
        <v>18</v>
      </c>
      <c r="E18" s="8">
        <f>PRODUCT(C18,B18)</f>
        <v>228.8</v>
      </c>
      <c r="F18" s="4"/>
    </row>
    <row r="19" spans="1:6" x14ac:dyDescent="0.25">
      <c r="A19" s="4" t="s">
        <v>37</v>
      </c>
      <c r="B19" s="12">
        <v>3.75</v>
      </c>
      <c r="C19" s="6">
        <v>44</v>
      </c>
      <c r="D19" s="11" t="s">
        <v>18</v>
      </c>
      <c r="E19" s="8">
        <f>PRODUCT(C19,B19)</f>
        <v>165</v>
      </c>
      <c r="F19" s="4"/>
    </row>
    <row r="20" spans="1:6" x14ac:dyDescent="0.25">
      <c r="A20" s="4" t="s">
        <v>42</v>
      </c>
      <c r="B20" s="5">
        <v>10.51</v>
      </c>
      <c r="C20" s="6">
        <v>2</v>
      </c>
      <c r="D20" s="7" t="s">
        <v>18</v>
      </c>
      <c r="E20" s="8">
        <f t="shared" si="0"/>
        <v>21.02</v>
      </c>
      <c r="F20" s="4"/>
    </row>
    <row r="21" spans="1:6" x14ac:dyDescent="0.25">
      <c r="A21" s="4" t="s">
        <v>22</v>
      </c>
      <c r="B21" s="5">
        <v>3.13</v>
      </c>
      <c r="C21" s="6">
        <v>4</v>
      </c>
      <c r="D21" s="7" t="s">
        <v>18</v>
      </c>
      <c r="E21" s="8">
        <f t="shared" si="0"/>
        <v>12.52</v>
      </c>
      <c r="F21" s="4"/>
    </row>
    <row r="22" spans="1:6" x14ac:dyDescent="0.25">
      <c r="A22" s="4" t="s">
        <v>16</v>
      </c>
      <c r="B22" s="5">
        <v>141.99</v>
      </c>
      <c r="C22" s="6">
        <v>1</v>
      </c>
      <c r="D22" s="7" t="s">
        <v>18</v>
      </c>
      <c r="E22" s="8">
        <f t="shared" si="0"/>
        <v>141.99</v>
      </c>
      <c r="F22" s="4"/>
    </row>
    <row r="23" spans="1:6" x14ac:dyDescent="0.25">
      <c r="A23" s="4" t="s">
        <v>15</v>
      </c>
      <c r="B23" s="5">
        <v>258</v>
      </c>
      <c r="C23" s="6">
        <v>1</v>
      </c>
      <c r="D23" s="7" t="s">
        <v>24</v>
      </c>
      <c r="E23" s="8">
        <f t="shared" si="0"/>
        <v>258</v>
      </c>
      <c r="F23" s="4"/>
    </row>
    <row r="24" spans="1:6" x14ac:dyDescent="0.25">
      <c r="A24" s="4" t="s">
        <v>17</v>
      </c>
      <c r="B24" s="5">
        <v>17.739999999999998</v>
      </c>
      <c r="C24" s="6">
        <v>1</v>
      </c>
      <c r="D24" s="7" t="s">
        <v>18</v>
      </c>
      <c r="E24" s="8">
        <f t="shared" si="0"/>
        <v>17.739999999999998</v>
      </c>
      <c r="F24" s="4"/>
    </row>
    <row r="25" spans="1:6" x14ac:dyDescent="0.25">
      <c r="A25" s="4" t="s">
        <v>25</v>
      </c>
      <c r="B25" s="5">
        <v>1439</v>
      </c>
      <c r="C25" s="6">
        <v>1</v>
      </c>
      <c r="D25" s="7" t="s">
        <v>18</v>
      </c>
      <c r="E25" s="8">
        <f t="shared" si="0"/>
        <v>1439</v>
      </c>
      <c r="F25" s="4"/>
    </row>
    <row r="26" spans="1:6" x14ac:dyDescent="0.25">
      <c r="A26" s="4" t="s">
        <v>25</v>
      </c>
      <c r="B26" s="4"/>
      <c r="C26" s="4"/>
      <c r="D26" s="4"/>
      <c r="E26" s="8">
        <f>Servidor!E3</f>
        <v>2513.61</v>
      </c>
      <c r="F26" s="4"/>
    </row>
    <row r="27" spans="1:6" x14ac:dyDescent="0.25">
      <c r="A27" s="7" t="s">
        <v>35</v>
      </c>
      <c r="B27" s="4"/>
      <c r="C27" s="4"/>
      <c r="D27" s="4"/>
      <c r="E27" s="9">
        <v>425.85</v>
      </c>
      <c r="F27" s="4"/>
    </row>
  </sheetData>
  <hyperlinks>
    <hyperlink ref="D7" r:id="rId1" xr:uid="{B60639D8-7577-4F9B-9BF8-3324492E6593}"/>
    <hyperlink ref="D6" r:id="rId2" xr:uid="{588442DF-0D2B-4225-BEAA-19A2F667E2B0}"/>
    <hyperlink ref="D5" r:id="rId3" xr:uid="{1C26F17C-C913-4822-ADF1-40E5755C4F23}"/>
    <hyperlink ref="D4" r:id="rId4" xr:uid="{708C4FF6-E5A3-424E-A5E5-6482E084E7B4}"/>
    <hyperlink ref="D3" r:id="rId5" xr:uid="{3A7B6823-65DC-4A5E-A4E5-200F96B69FCF}"/>
    <hyperlink ref="D2" r:id="rId6" display="Pincha aquí" xr:uid="{17651103-7E6E-41E6-BCC3-1B7D035B6486}"/>
    <hyperlink ref="D9" r:id="rId7" xr:uid="{442D6204-C7DD-408D-A893-5B29DE6429C1}"/>
    <hyperlink ref="D21" r:id="rId8" xr:uid="{B31A2E76-AA6E-456C-BC10-79ACA5E4A73C}"/>
    <hyperlink ref="D22" r:id="rId9" xr:uid="{936919FA-9AFF-43EC-A950-512FB81D8C06}"/>
    <hyperlink ref="D10" r:id="rId10" xr:uid="{89F08FBB-B87F-4C82-B826-B8FE2FC534D9}"/>
    <hyperlink ref="D23" r:id="rId11" xr:uid="{1D8B9DF1-0B40-4176-83BE-518A8BB6C6F0}"/>
    <hyperlink ref="D24" r:id="rId12" xr:uid="{7D4E9FB6-B264-4B41-BEE4-800A7C92FA0D}"/>
    <hyperlink ref="D20" r:id="rId13" xr:uid="{9CF1C220-991F-4E4B-9F3F-C69F4586DB46}"/>
    <hyperlink ref="D15" r:id="rId14" xr:uid="{8FAA8074-519A-442D-9A1A-D9E59BF7946E}"/>
    <hyperlink ref="D13" r:id="rId15" xr:uid="{F57F6639-00BF-40E9-9821-7ADAD389C1A5}"/>
    <hyperlink ref="D12" r:id="rId16" xr:uid="{EA0EF1DF-1D97-4CF0-903E-7F3D19114282}"/>
    <hyperlink ref="D14" r:id="rId17" xr:uid="{FCB096C4-58F1-40C7-BC37-392E592950BA}"/>
    <hyperlink ref="D25" r:id="rId18" xr:uid="{1D4DF120-4C63-4A66-A17D-377C8113F235}"/>
    <hyperlink ref="A27" r:id="rId19" xr:uid="{72E688F8-2C47-4DA8-ABC9-BF205CC8ACC5}"/>
    <hyperlink ref="D16" r:id="rId20" xr:uid="{F1F5230A-4D7A-4A5C-8B69-770154E25976}"/>
    <hyperlink ref="D19" r:id="rId21" xr:uid="{4BD470E5-98AE-45BA-AE9D-82F44526358A}"/>
    <hyperlink ref="D18" r:id="rId22" xr:uid="{9BB759C9-78B9-4293-A823-BE35642D8752}"/>
    <hyperlink ref="D17" r:id="rId23" xr:uid="{20C7B674-B45E-47D3-93E7-A55F751C4A03}"/>
    <hyperlink ref="D8" r:id="rId24" xr:uid="{B3121A6E-F843-44F8-8F8A-149EB41D892B}"/>
    <hyperlink ref="D11" r:id="rId25" xr:uid="{50346BCE-59F0-4D62-8ABA-DB24655AABE4}"/>
    <hyperlink ref="D2:D7" r:id="rId26" display="Pinche aquí" xr:uid="{F2C57B74-6A9C-4102-9B39-BCEEC6122CD0}"/>
  </hyperlinks>
  <pageMargins left="0.7" right="0.7" top="0.75" bottom="0.75" header="0.3" footer="0.3"/>
  <pageSetup paperSize="9" orientation="portrait" horizontalDpi="300" verticalDpi="300" r:id="rId27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CCDC-A1A4-4CBE-B897-E8416998D304}">
  <dimension ref="A1:E8"/>
  <sheetViews>
    <sheetView workbookViewId="0">
      <selection activeCell="J13" sqref="J13"/>
    </sheetView>
  </sheetViews>
  <sheetFormatPr baseColWidth="10" defaultRowHeight="15" x14ac:dyDescent="0.25"/>
  <cols>
    <col min="1" max="5" width="12" customWidth="1"/>
  </cols>
  <sheetData>
    <row r="1" spans="1:5" x14ac:dyDescent="0.25">
      <c r="A1" t="s">
        <v>31</v>
      </c>
    </row>
    <row r="2" spans="1:5" x14ac:dyDescent="0.25">
      <c r="A2" t="s">
        <v>26</v>
      </c>
      <c r="B2" t="s">
        <v>1</v>
      </c>
      <c r="C2" t="s">
        <v>19</v>
      </c>
      <c r="D2" t="s">
        <v>2</v>
      </c>
      <c r="E2" t="s">
        <v>34</v>
      </c>
    </row>
    <row r="3" spans="1:5" x14ac:dyDescent="0.25">
      <c r="A3" t="s">
        <v>27</v>
      </c>
      <c r="B3" s="3">
        <v>628.65</v>
      </c>
      <c r="C3">
        <v>1</v>
      </c>
      <c r="D3" s="2" t="s">
        <v>18</v>
      </c>
      <c r="E3" s="1">
        <f>SUM(B3:B8)</f>
        <v>2513.61</v>
      </c>
    </row>
    <row r="4" spans="1:5" x14ac:dyDescent="0.25">
      <c r="A4" t="s">
        <v>28</v>
      </c>
      <c r="B4" s="3">
        <v>329.89</v>
      </c>
      <c r="C4">
        <v>2</v>
      </c>
      <c r="D4" s="2" t="s">
        <v>18</v>
      </c>
    </row>
    <row r="5" spans="1:5" x14ac:dyDescent="0.25">
      <c r="A5" t="s">
        <v>29</v>
      </c>
      <c r="B5" s="3">
        <v>357.99</v>
      </c>
      <c r="C5">
        <v>2</v>
      </c>
      <c r="D5" s="2" t="s">
        <v>18</v>
      </c>
    </row>
    <row r="6" spans="1:5" x14ac:dyDescent="0.25">
      <c r="A6" t="s">
        <v>30</v>
      </c>
      <c r="B6" s="3">
        <v>462</v>
      </c>
      <c r="C6">
        <v>4</v>
      </c>
      <c r="D6" s="2" t="s">
        <v>18</v>
      </c>
    </row>
    <row r="7" spans="1:5" x14ac:dyDescent="0.25">
      <c r="A7" t="s">
        <v>32</v>
      </c>
      <c r="B7" s="3">
        <v>276.08</v>
      </c>
      <c r="C7">
        <v>1</v>
      </c>
      <c r="D7" s="2" t="s">
        <v>18</v>
      </c>
    </row>
    <row r="8" spans="1:5" x14ac:dyDescent="0.25">
      <c r="A8" t="s">
        <v>33</v>
      </c>
      <c r="B8" s="3">
        <v>459</v>
      </c>
      <c r="C8">
        <v>1</v>
      </c>
      <c r="D8" s="2" t="s">
        <v>18</v>
      </c>
    </row>
  </sheetData>
  <hyperlinks>
    <hyperlink ref="D3" r:id="rId1" xr:uid="{19E3D439-0D9B-42CF-8D00-80CFD21C9E78}"/>
    <hyperlink ref="D4" r:id="rId2" xr:uid="{EF70E43C-6A63-4371-AEC3-D16622234F0B}"/>
    <hyperlink ref="D5" r:id="rId3" xr:uid="{171665B2-21A2-498F-87C6-7A768AB946A6}"/>
    <hyperlink ref="D6" r:id="rId4" xr:uid="{9114CF45-3533-44DC-A92F-D45CD77F43C5}"/>
    <hyperlink ref="D7" r:id="rId5" xr:uid="{16B9D202-0E00-400C-8211-D9F76997F528}"/>
    <hyperlink ref="D8" r:id="rId6" xr:uid="{8E59273B-DD08-4BE4-837B-D73C219DCBE3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Servidor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Cabello Jordán</dc:creator>
  <cp:lastModifiedBy>Pablo Cabello Jordán</cp:lastModifiedBy>
  <dcterms:created xsi:type="dcterms:W3CDTF">2020-05-14T09:07:28Z</dcterms:created>
  <dcterms:modified xsi:type="dcterms:W3CDTF">2020-06-15T20:16:55Z</dcterms:modified>
</cp:coreProperties>
</file>